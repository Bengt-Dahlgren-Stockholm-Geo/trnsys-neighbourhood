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RNSYS18\TRNLib\CallingPython-Cffi\Examples\trnsys-neighbourhood\"/>
    </mc:Choice>
  </mc:AlternateContent>
  <xr:revisionPtr revIDLastSave="0" documentId="13_ncr:1_{3EB44569-602E-4C5C-9D73-60340B9CAE17}" xr6:coauthVersionLast="47" xr6:coauthVersionMax="47" xr10:uidLastSave="{00000000-0000-0000-0000-000000000000}"/>
  <bookViews>
    <workbookView xWindow="2280" yWindow="2280" windowWidth="14400" windowHeight="7270" activeTab="1" xr2:uid="{00000000-000D-0000-FFFF-FFFF00000000}"/>
  </bookViews>
  <sheets>
    <sheet name="Borehole" sheetId="1" r:id="rId1"/>
    <sheet name="NeighbouringBoreholes" sheetId="4" r:id="rId2"/>
    <sheet name="Ground" sheetId="2" r:id="rId3"/>
    <sheet name="Flui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2" i="4"/>
</calcChain>
</file>

<file path=xl/sharedStrings.xml><?xml version="1.0" encoding="utf-8"?>
<sst xmlns="http://schemas.openxmlformats.org/spreadsheetml/2006/main" count="30" uniqueCount="18">
  <si>
    <t>H [m]</t>
  </si>
  <si>
    <t>D [m]</t>
  </si>
  <si>
    <t>rb</t>
  </si>
  <si>
    <t>0.0575</t>
  </si>
  <si>
    <t>x</t>
  </si>
  <si>
    <t>y</t>
  </si>
  <si>
    <t>0.0</t>
  </si>
  <si>
    <t>k [W/mK]</t>
  </si>
  <si>
    <t>3.1</t>
  </si>
  <si>
    <t>rho [kg/m3]</t>
  </si>
  <si>
    <t>cp[J/kg/k]</t>
  </si>
  <si>
    <t>2300.0</t>
  </si>
  <si>
    <t>870.0</t>
  </si>
  <si>
    <t>Tg [degC]</t>
  </si>
  <si>
    <t>activation_year</t>
  </si>
  <si>
    <t>yearly borehole extraction [kWh]</t>
  </si>
  <si>
    <t>Rb [mK/W]</t>
  </si>
  <si>
    <t>cp [J/(kgK)]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</si>
</sst>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11" workbookViewId="0">
      <selection activeCell="F10" sqref="F10"/>
    </sheetView>
  </sheetViews>
  <sheetFormatPr defaultRowHeight="14.5" x14ac:dyDescent="0.35"/>
  <cols>
    <col min="1" max="5" width="8.7265625" style="1"/>
    <col min="6" max="6" width="13.63281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14</v>
      </c>
    </row>
    <row r="2" spans="1:6" s="2" customFormat="1" x14ac:dyDescent="0.35">
      <c r="A2" s="2">
        <v>130</v>
      </c>
      <c r="B2" s="2">
        <v>6</v>
      </c>
      <c r="C2" s="2" t="s">
        <v>3</v>
      </c>
      <c r="D2" s="2" t="s">
        <v>6</v>
      </c>
      <c r="E2" s="2" t="s">
        <v>6</v>
      </c>
      <c r="F2" s="2">
        <v>2005</v>
      </c>
    </row>
    <row r="3" spans="1:6" s="2" customFormat="1" x14ac:dyDescent="0.35">
      <c r="F3" s="1"/>
    </row>
    <row r="4" spans="1:6" s="2" customFormat="1" x14ac:dyDescent="0.35">
      <c r="D4" s="1"/>
      <c r="E4" s="1"/>
      <c r="F4" s="1"/>
    </row>
    <row r="5" spans="1:6" x14ac:dyDescent="0.35">
      <c r="A5" s="2"/>
      <c r="B5" s="2"/>
      <c r="C5" s="2"/>
    </row>
    <row r="6" spans="1:6" x14ac:dyDescent="0.35">
      <c r="A6" s="2"/>
      <c r="B6" s="2"/>
      <c r="C6" s="2"/>
    </row>
    <row r="7" spans="1:6" x14ac:dyDescent="0.35">
      <c r="A7" s="2"/>
      <c r="B7" s="2"/>
      <c r="C7" s="2"/>
    </row>
    <row r="8" spans="1:6" x14ac:dyDescent="0.35">
      <c r="A8" s="2"/>
      <c r="B8" s="2"/>
      <c r="C8" s="2"/>
    </row>
    <row r="9" spans="1:6" x14ac:dyDescent="0.35">
      <c r="A9" s="2"/>
      <c r="B9" s="2"/>
      <c r="C9" s="2"/>
    </row>
    <row r="10" spans="1:6" x14ac:dyDescent="0.35">
      <c r="A10" s="2"/>
      <c r="B10" s="2"/>
      <c r="C10" s="2"/>
    </row>
    <row r="11" spans="1:6" x14ac:dyDescent="0.35">
      <c r="A11" s="2"/>
      <c r="B11" s="2"/>
      <c r="C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ECB5-707C-4154-9BD0-3112D481D55E}">
  <dimension ref="A1:G8"/>
  <sheetViews>
    <sheetView tabSelected="1" workbookViewId="0">
      <selection activeCell="C9" sqref="C9"/>
    </sheetView>
  </sheetViews>
  <sheetFormatPr defaultRowHeight="14.5" x14ac:dyDescent="0.35"/>
  <cols>
    <col min="6" max="6" width="28.54296875" bestFit="1" customWidth="1"/>
    <col min="7" max="7" width="13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15</v>
      </c>
      <c r="G1" s="1" t="s">
        <v>14</v>
      </c>
    </row>
    <row r="2" spans="1:7" x14ac:dyDescent="0.35">
      <c r="A2" s="2">
        <v>130</v>
      </c>
      <c r="B2" s="2">
        <v>6</v>
      </c>
      <c r="C2" s="2" t="s">
        <v>3</v>
      </c>
      <c r="D2" s="2" t="s">
        <v>6</v>
      </c>
      <c r="E2" s="2">
        <v>0.5</v>
      </c>
      <c r="F2" s="2">
        <f>A2*10*8760/1000</f>
        <v>11388</v>
      </c>
      <c r="G2" s="2">
        <v>2001</v>
      </c>
    </row>
    <row r="3" spans="1:7" x14ac:dyDescent="0.35">
      <c r="A3" s="2">
        <v>120</v>
      </c>
      <c r="B3" s="2">
        <v>6</v>
      </c>
      <c r="C3" s="2" t="s">
        <v>3</v>
      </c>
      <c r="D3" s="2">
        <v>0.5</v>
      </c>
      <c r="E3" s="2">
        <v>0.5</v>
      </c>
      <c r="F3" s="2">
        <f t="shared" ref="F3:F5" si="0">A3*10*8760/1000</f>
        <v>10512</v>
      </c>
      <c r="G3" s="2">
        <v>2002</v>
      </c>
    </row>
    <row r="4" spans="1:7" x14ac:dyDescent="0.35">
      <c r="A4" s="2">
        <v>130</v>
      </c>
      <c r="B4" s="2">
        <v>6</v>
      </c>
      <c r="C4" s="2" t="s">
        <v>3</v>
      </c>
      <c r="D4" s="2">
        <v>0.5</v>
      </c>
      <c r="E4" s="2">
        <v>1</v>
      </c>
      <c r="F4" s="2">
        <f t="shared" si="0"/>
        <v>11388</v>
      </c>
      <c r="G4" s="2">
        <v>2003</v>
      </c>
    </row>
    <row r="5" spans="1:7" x14ac:dyDescent="0.35">
      <c r="A5" s="2">
        <v>150</v>
      </c>
      <c r="B5" s="2">
        <v>6</v>
      </c>
      <c r="C5" s="2" t="s">
        <v>3</v>
      </c>
      <c r="D5" s="2">
        <v>1</v>
      </c>
      <c r="E5" s="2">
        <v>1</v>
      </c>
      <c r="F5" s="2">
        <f t="shared" si="0"/>
        <v>13140</v>
      </c>
      <c r="G5" s="2">
        <v>2004</v>
      </c>
    </row>
    <row r="8" spans="1:7" x14ac:dyDescent="0.35">
      <c r="F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9F8B-7467-45FD-B3CE-3E6B9983E5DA}">
  <dimension ref="A1:F2"/>
  <sheetViews>
    <sheetView workbookViewId="0">
      <selection activeCell="F7" sqref="F7"/>
    </sheetView>
  </sheetViews>
  <sheetFormatPr defaultRowHeight="14.5" x14ac:dyDescent="0.35"/>
  <cols>
    <col min="1" max="1" width="8.7265625" style="1"/>
    <col min="2" max="2" width="10.7265625" style="1" bestFit="1" customWidth="1"/>
    <col min="3" max="5" width="8.7265625" style="1"/>
    <col min="6" max="6" width="10" style="1" bestFit="1" customWidth="1"/>
    <col min="7" max="16384" width="8.7265625" style="1"/>
  </cols>
  <sheetData>
    <row r="1" spans="1:6" x14ac:dyDescent="0.35">
      <c r="A1" s="1" t="s">
        <v>7</v>
      </c>
      <c r="B1" s="1" t="s">
        <v>9</v>
      </c>
      <c r="C1" s="1" t="s">
        <v>10</v>
      </c>
      <c r="E1" s="1" t="s">
        <v>13</v>
      </c>
      <c r="F1" s="1" t="s">
        <v>16</v>
      </c>
    </row>
    <row r="2" spans="1:6" s="2" customFormat="1" x14ac:dyDescent="0.35">
      <c r="A2" s="2" t="s">
        <v>8</v>
      </c>
      <c r="B2" s="2" t="s">
        <v>11</v>
      </c>
      <c r="C2" s="2" t="s">
        <v>12</v>
      </c>
      <c r="E2" s="2">
        <v>8</v>
      </c>
      <c r="F2" s="2">
        <v>0.08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B288-D233-43AD-80D6-9BAE58C6DDCA}">
  <dimension ref="A1:D4"/>
  <sheetViews>
    <sheetView workbookViewId="0">
      <selection activeCell="B6" sqref="B6"/>
    </sheetView>
  </sheetViews>
  <sheetFormatPr defaultRowHeight="14.5" x14ac:dyDescent="0.35"/>
  <cols>
    <col min="1" max="1" width="12.1796875" customWidth="1"/>
    <col min="3" max="3" width="21.81640625" bestFit="1" customWidth="1"/>
  </cols>
  <sheetData>
    <row r="1" spans="1:4" x14ac:dyDescent="0.35">
      <c r="A1" s="1" t="s">
        <v>17</v>
      </c>
      <c r="B1" s="4"/>
      <c r="C1" s="4"/>
      <c r="D1" s="4"/>
    </row>
    <row r="2" spans="1:4" x14ac:dyDescent="0.35">
      <c r="A2" s="1">
        <v>4217</v>
      </c>
      <c r="B2" s="4"/>
      <c r="C2" s="4"/>
      <c r="D2" s="4"/>
    </row>
    <row r="3" spans="1:4" x14ac:dyDescent="0.35">
      <c r="A3" s="1"/>
      <c r="B3" s="4"/>
      <c r="C3" s="4"/>
      <c r="D3" s="4"/>
    </row>
    <row r="4" spans="1:4" x14ac:dyDescent="0.35">
      <c r="B4" s="4"/>
      <c r="C4" s="4"/>
      <c r="D4" s="4"/>
    </row>
  </sheetData>
  <dataValidations count="1">
    <dataValidation type="list" allowBlank="1" showInputMessage="1" showErrorMessage="1" sqref="A2" xr:uid="{CA38D562-456F-480B-8A1A-3E5824712529}">
      <formula1>"Water,EthanolMix,GlycolMix"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Borehole</vt:lpstr>
      <vt:lpstr>NeighbouringBoreholes</vt:lpstr>
      <vt:lpstr>Ground</vt:lpstr>
      <vt:lpstr>Fluid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 User</dc:creator>
  <cp:lastModifiedBy>ITM User</cp:lastModifiedBy>
  <dcterms:created xsi:type="dcterms:W3CDTF">2015-06-05T18:17:20Z</dcterms:created>
  <dcterms:modified xsi:type="dcterms:W3CDTF">2026-05-08T08:03:05Z</dcterms:modified>
</cp:coreProperties>
</file>